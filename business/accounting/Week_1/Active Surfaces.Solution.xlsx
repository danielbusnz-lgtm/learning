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 defaultThemeVersion="124226"/>
  <xr:revisionPtr revIDLastSave="0" documentId="13_ncr:1_{F778F2ED-76C0-8F44-BE98-C14155FC8CC6}" xr6:coauthVersionLast="36" xr6:coauthVersionMax="47" xr10:uidLastSave="{00000000-0000-0000-0000-000000000000}"/>
  <bookViews>
    <workbookView xWindow="17320" yWindow="560" windowWidth="31580" windowHeight="25780" xr2:uid="{19C020D0-C003-4DEB-B2C5-92A3DE219274}"/>
  </bookViews>
  <sheets>
    <sheet name="BSE Template (blank)" sheetId="7" r:id="rId1"/>
    <sheet name="BSE Template (filled in)" sheetId="6" r:id="rId2"/>
    <sheet name="FS" sheetId="8" r:id="rId3"/>
  </sheets>
  <calcPr calcId="181029" iterate="1"/>
</workbook>
</file>

<file path=xl/calcChain.xml><?xml version="1.0" encoding="utf-8"?>
<calcChain xmlns="http://schemas.openxmlformats.org/spreadsheetml/2006/main">
  <c r="P26" i="8" l="1"/>
  <c r="P24" i="8"/>
  <c r="P22" i="8"/>
  <c r="P16" i="8"/>
  <c r="P12" i="8"/>
  <c r="K10" i="8"/>
  <c r="K12" i="8" s="1"/>
  <c r="F9" i="8"/>
  <c r="F5" i="8"/>
  <c r="F11" i="8" s="1"/>
  <c r="B11" i="8"/>
  <c r="M41" i="7" l="1"/>
  <c r="L41" i="7"/>
  <c r="K41" i="7"/>
  <c r="J41" i="7"/>
  <c r="I41" i="7"/>
  <c r="H41" i="7"/>
  <c r="G41" i="7"/>
  <c r="F41" i="7"/>
  <c r="E41" i="7"/>
  <c r="D41" i="7"/>
  <c r="C41" i="7"/>
  <c r="Q39" i="7"/>
  <c r="Q37" i="7"/>
  <c r="Q35" i="7"/>
  <c r="Q33" i="7"/>
  <c r="Q31" i="7"/>
  <c r="Q29" i="7"/>
  <c r="Q27" i="7"/>
  <c r="Q25" i="7"/>
  <c r="Q24" i="7"/>
  <c r="Q22" i="7"/>
  <c r="Q20" i="7"/>
  <c r="Q18" i="7"/>
  <c r="Q16" i="7"/>
  <c r="Q14" i="7"/>
  <c r="Q12" i="7"/>
  <c r="Q10" i="7"/>
  <c r="Q6" i="7"/>
  <c r="Q25" i="6"/>
  <c r="M41" i="6"/>
  <c r="L41" i="6"/>
  <c r="K41" i="6"/>
  <c r="J41" i="6"/>
  <c r="I41" i="6"/>
  <c r="H41" i="6"/>
  <c r="G41" i="6"/>
  <c r="F41" i="6"/>
  <c r="E41" i="6"/>
  <c r="D41" i="6"/>
  <c r="C41" i="6"/>
  <c r="Q39" i="6"/>
  <c r="Q37" i="6"/>
  <c r="Q35" i="6"/>
  <c r="Q33" i="6"/>
  <c r="Q31" i="6"/>
  <c r="Q29" i="6"/>
  <c r="Q27" i="6"/>
  <c r="Q24" i="6"/>
  <c r="Q22" i="6"/>
  <c r="Q20" i="6"/>
  <c r="Q18" i="6"/>
  <c r="Q16" i="6"/>
  <c r="Q14" i="6"/>
  <c r="Q12" i="6"/>
  <c r="Q10" i="6"/>
  <c r="Q6" i="6"/>
  <c r="Q41" i="7" l="1"/>
  <c r="Q4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4" authorId="0" shapeId="0" xr:uid="{77776DAB-1BCA-3349-9D90-4DF6E2FAA223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500+200</t>
        </r>
      </text>
    </comment>
    <comment ref="P8" authorId="0" shapeId="0" xr:uid="{5C5239FD-7394-0247-8B1D-85F39A485FB4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 xml:space="preserve">25-1.5
</t>
        </r>
      </text>
    </comment>
  </commentList>
</comments>
</file>

<file path=xl/sharedStrings.xml><?xml version="1.0" encoding="utf-8"?>
<sst xmlns="http://schemas.openxmlformats.org/spreadsheetml/2006/main" count="138" uniqueCount="88">
  <si>
    <t>Assets</t>
  </si>
  <si>
    <t>Inventory</t>
  </si>
  <si>
    <t>Liabilities</t>
  </si>
  <si>
    <t>Transaction</t>
  </si>
  <si>
    <t>Revenue</t>
  </si>
  <si>
    <t>BSE Check</t>
  </si>
  <si>
    <t>Beginning Balance</t>
  </si>
  <si>
    <t>Ending Balance</t>
  </si>
  <si>
    <t>Insurance Expense</t>
  </si>
  <si>
    <t>Fiscal Year Ended December 31, 2023</t>
  </si>
  <si>
    <t>Assets = Liabilities + Stockholders' Equity</t>
  </si>
  <si>
    <t>Stockholders' Equity</t>
  </si>
  <si>
    <t>RE Notes</t>
  </si>
  <si>
    <t>After 30 days, the company paid for the $2,000 worth of office supplies purchased on credit.</t>
  </si>
  <si>
    <t>After 37 days, the company was paid in full for the pilot project.</t>
  </si>
  <si>
    <t>By year-end, the legal services were completed, and $1,500 remaining on the retainer was refunded to the company.</t>
  </si>
  <si>
    <t>Supplies Expense</t>
  </si>
  <si>
    <t>Cost of Goods Sold (COGS)</t>
  </si>
  <si>
    <t>Manufacturing costs, excluding depreciation expense, totaled $350,000 and were paid in cash.</t>
  </si>
  <si>
    <t>Depreciation Expense</t>
  </si>
  <si>
    <t>Interest
Expense</t>
  </si>
  <si>
    <t>Legal 
Expense</t>
  </si>
  <si>
    <t>Cash and
cash equivalents</t>
  </si>
  <si>
    <t>Accounts receivable (AR)</t>
  </si>
  <si>
    <t>Prepaid expenses</t>
  </si>
  <si>
    <t>Property, plant, and equipment (PP&amp;E), net</t>
  </si>
  <si>
    <t>Other
assets</t>
  </si>
  <si>
    <t>Accounts
payable (AP)</t>
  </si>
  <si>
    <t>Deferred revenue</t>
  </si>
  <si>
    <t>Loan
payable</t>
  </si>
  <si>
    <t>Common
stock</t>
  </si>
  <si>
    <t>Retained earnings (RE)</t>
  </si>
  <si>
    <t>On December 31, 2023, the company recognized an insurance expense for the year, indicating that one year of policy coverage had been utilized.</t>
  </si>
  <si>
    <t>On December 31, 2023, the company recorded a $65,000 depreciation expense on manufacturing equipment for the year.</t>
  </si>
  <si>
    <t>On January 2, 2023, the company issued 500,000 shares of common stock for $2 per share.</t>
  </si>
  <si>
    <t>On January 2, 2023, the company paid $24,000 in cash for two years of general liability insurance coverage.</t>
  </si>
  <si>
    <t>On January 17, 2023, the company opened a $1 million revolving line of credit at a 10% annual interest rate. It immediately accessed $400,000 though the line.</t>
  </si>
  <si>
    <t>On January 20, 2023, the company purchased $2,000 worth of office supplies on credit with 30-day payment terms.</t>
  </si>
  <si>
    <t>On March 3, 2023, the company paid $650,000 in cash to acquire manufacturing equipment for their production facility.</t>
  </si>
  <si>
    <t>On March 31, 2023. the company paid a $25,000 cash retainer for legal services expected to be completed during the year.</t>
  </si>
  <si>
    <t xml:space="preserve">On May 11, 2023, the company completed a pilot project and billed the customer $500,000 with 60-day payment terms. </t>
  </si>
  <si>
    <t>On July 17, 2023, the company paid off the outstanding balance on the revolving line of credit, including accrued interest, totaling $420,000.</t>
  </si>
  <si>
    <t>On November 27, 2023, the company paid $325,000 in cash to procure raw materials for the production of the $1 million order.</t>
  </si>
  <si>
    <t>On October 12, 2023, the company received a 20% down payment on a $1 million order scheduled for delivery early the following year.</t>
  </si>
  <si>
    <t>BALANCE SHEET</t>
  </si>
  <si>
    <t>Cash</t>
  </si>
  <si>
    <t>A/R</t>
  </si>
  <si>
    <t>Prepaid Expenses</t>
  </si>
  <si>
    <t>PP&amp;E</t>
  </si>
  <si>
    <t>Other assets</t>
  </si>
  <si>
    <t>A/P</t>
  </si>
  <si>
    <t>Loan payable</t>
  </si>
  <si>
    <t>Total Liabilities</t>
  </si>
  <si>
    <t>Common stock</t>
  </si>
  <si>
    <t>R/E</t>
  </si>
  <si>
    <t>Total Shareholders' Equity</t>
  </si>
  <si>
    <t>Total Assets</t>
  </si>
  <si>
    <t>Total Liabilities + SE</t>
  </si>
  <si>
    <t>INCOME STATEMENT</t>
  </si>
  <si>
    <t>Revenues</t>
  </si>
  <si>
    <t>Expenses</t>
  </si>
  <si>
    <t>COGS</t>
  </si>
  <si>
    <t>Supplies</t>
  </si>
  <si>
    <t>Legal</t>
  </si>
  <si>
    <t>Insurance</t>
  </si>
  <si>
    <t>Depreciation</t>
  </si>
  <si>
    <t>Interest</t>
  </si>
  <si>
    <t>Total Expenses</t>
  </si>
  <si>
    <t>Net Income</t>
  </si>
  <si>
    <t>CASH FLOW STATEMENT</t>
  </si>
  <si>
    <t>Cash from operations</t>
  </si>
  <si>
    <t>Cash received from:</t>
  </si>
  <si>
    <t>Customers</t>
  </si>
  <si>
    <t>Cash paid for:</t>
  </si>
  <si>
    <t>Manufacturing</t>
  </si>
  <si>
    <t>Raw materials</t>
  </si>
  <si>
    <t>Net cash from (used in) operations</t>
  </si>
  <si>
    <t>Cash from investing</t>
  </si>
  <si>
    <t>Acquisition of equipment</t>
  </si>
  <si>
    <t>Net cash from (used in) investing</t>
  </si>
  <si>
    <t>Cash from financing</t>
  </si>
  <si>
    <t>Issuance of common stock</t>
  </si>
  <si>
    <t>Proceeds from loan</t>
  </si>
  <si>
    <t>Repayment of loan</t>
  </si>
  <si>
    <t>Net cash from (used in) financing</t>
  </si>
  <si>
    <t>Net cash flows</t>
  </si>
  <si>
    <t>Cash balance at beginning of year</t>
  </si>
  <si>
    <t>Cash balancce at end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</si>
</sst>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M&quot;* #,##0.00_-;\-&quot;RM&quot;* #,##0.00_-;_-&quot;RM&quot;* &quot;-&quot;??_-;_-@_-"/>
    <numFmt numFmtId="165" formatCode="[$$-409]#,##0.00;[Red][$$-409]#,##0.00"/>
    <numFmt numFmtId="166" formatCode="_-[$$-409]* #,##0.00_ ;_-[$$-409]* \-#,##0.00\ ;_-[$$-409]* &quot;-&quot;??_ ;_-@_ "/>
    <numFmt numFmtId="167" formatCode="&quot;$&quot;#,##0"/>
    <numFmt numFmtId="170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164" fontId="4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6" fillId="0" borderId="2" xfId="0" applyFont="1" applyBorder="1"/>
    <xf numFmtId="0" fontId="0" fillId="0" borderId="2" xfId="0" applyBorder="1" applyAlignment="1">
      <alignment horizontal="center"/>
    </xf>
    <xf numFmtId="167" fontId="1" fillId="7" borderId="1" xfId="2" applyNumberFormat="1" applyFont="1" applyFill="1" applyBorder="1" applyAlignment="1">
      <alignment horizontal="right" vertical="center" wrapText="1"/>
    </xf>
    <xf numFmtId="167" fontId="1" fillId="6" borderId="1" xfId="2" applyNumberFormat="1" applyFont="1" applyFill="1" applyBorder="1" applyAlignment="1">
      <alignment horizontal="right" vertical="center" wrapText="1"/>
    </xf>
    <xf numFmtId="167" fontId="1" fillId="3" borderId="1" xfId="2" applyNumberFormat="1" applyFont="1" applyFill="1" applyBorder="1" applyAlignment="1">
      <alignment horizontal="right" vertical="center" wrapText="1"/>
    </xf>
    <xf numFmtId="167" fontId="1" fillId="0" borderId="0" xfId="2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7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166" fontId="1" fillId="0" borderId="0" xfId="2" applyNumberFormat="1" applyFont="1" applyFill="1" applyBorder="1" applyAlignment="1">
      <alignment horizontal="center" vertical="center" wrapText="1"/>
    </xf>
    <xf numFmtId="166" fontId="5" fillId="0" borderId="0" xfId="2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top" wrapText="1"/>
    </xf>
    <xf numFmtId="167" fontId="0" fillId="0" borderId="0" xfId="0" applyNumberFormat="1" applyAlignment="1">
      <alignment horizontal="right" vertical="top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horizontal="left" vertical="top" wrapText="1"/>
    </xf>
    <xf numFmtId="167" fontId="0" fillId="9" borderId="0" xfId="0" applyNumberFormat="1" applyFill="1" applyAlignment="1">
      <alignment horizontal="right" vertical="top" wrapText="1"/>
    </xf>
    <xf numFmtId="167" fontId="6" fillId="7" borderId="1" xfId="2" applyNumberFormat="1" applyFont="1" applyFill="1" applyBorder="1" applyAlignment="1">
      <alignment horizontal="right" vertical="top" wrapText="1"/>
    </xf>
    <xf numFmtId="167" fontId="6" fillId="6" borderId="1" xfId="2" applyNumberFormat="1" applyFont="1" applyFill="1" applyBorder="1" applyAlignment="1">
      <alignment horizontal="right" vertical="top" wrapText="1"/>
    </xf>
    <xf numFmtId="167" fontId="6" fillId="3" borderId="1" xfId="2" applyNumberFormat="1" applyFont="1" applyFill="1" applyBorder="1" applyAlignment="1">
      <alignment horizontal="right" vertical="top" wrapText="1"/>
    </xf>
    <xf numFmtId="167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1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7" fontId="0" fillId="0" borderId="2" xfId="0" applyNumberFormat="1" applyBorder="1" applyAlignment="1">
      <alignment horizontal="right" vertical="top" wrapText="1"/>
    </xf>
    <xf numFmtId="167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center"/>
    </xf>
    <xf numFmtId="170" fontId="0" fillId="0" borderId="2" xfId="0" applyNumberFormat="1" applyBorder="1" applyAlignment="1">
      <alignment horizontal="right" vertical="top" wrapText="1"/>
    </xf>
    <xf numFmtId="170" fontId="0" fillId="0" borderId="0" xfId="0" applyNumberFormat="1" applyBorder="1" applyAlignment="1">
      <alignment horizontal="right" vertical="top" wrapText="1"/>
    </xf>
    <xf numFmtId="170" fontId="1" fillId="0" borderId="0" xfId="0" applyNumberFormat="1" applyFont="1" applyBorder="1" applyAlignment="1">
      <alignment horizontal="right" vertical="top" wrapText="1"/>
    </xf>
    <xf numFmtId="167" fontId="1" fillId="0" borderId="7" xfId="0" applyNumberFormat="1" applyFont="1" applyBorder="1" applyAlignment="1">
      <alignment horizontal="right" vertical="top" wrapText="1"/>
    </xf>
    <xf numFmtId="167" fontId="1" fillId="0" borderId="8" xfId="0" applyNumberFormat="1" applyFont="1" applyBorder="1" applyAlignment="1">
      <alignment horizontal="right" vertical="top" wrapText="1"/>
    </xf>
    <xf numFmtId="170" fontId="0" fillId="0" borderId="8" xfId="0" applyNumberFormat="1" applyBorder="1" applyAlignment="1">
      <alignment horizontal="right" vertical="top" wrapText="1"/>
    </xf>
    <xf numFmtId="170" fontId="0" fillId="0" borderId="7" xfId="0" applyNumberFormat="1" applyBorder="1" applyAlignment="1">
      <alignment horizontal="right" vertical="top" wrapText="1"/>
    </xf>
  </cellXfs>
  <cellStyles count="3">
    <cellStyle name="Currency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A207-9CAB-4042-ABFF-FDD0B4F9696F}">
  <sheetPr>
    <tabColor theme="6"/>
  </sheetPr>
  <dimension ref="A1:Q50"/>
  <sheetViews>
    <sheetView tabSelected="1" workbookViewId="0">
      <pane ySplit="6" topLeftCell="A7" activePane="bottomLeft" state="frozen"/>
      <selection activeCell="A29" sqref="A29:XFD29"/>
      <selection pane="bottomLeft" sqref="A1:B1"/>
    </sheetView>
  </sheetViews>
  <sheetFormatPr baseColWidth="10" defaultColWidth="9.1640625" defaultRowHeight="15" x14ac:dyDescent="0.2"/>
  <cols>
    <col min="1" max="1" width="2.83203125" bestFit="1" customWidth="1"/>
    <col min="2" max="2" width="54.6640625" customWidth="1"/>
    <col min="3" max="6" width="14.6640625" customWidth="1"/>
    <col min="7" max="7" width="16.1640625" customWidth="1"/>
    <col min="8" max="13" width="14.6640625" customWidth="1"/>
    <col min="14" max="14" width="2.6640625" customWidth="1"/>
    <col min="15" max="15" width="14.6640625" style="1" customWidth="1"/>
    <col min="16" max="16" width="2.6640625" style="1" customWidth="1"/>
    <col min="17" max="17" width="10.6640625" style="1" customWidth="1"/>
  </cols>
  <sheetData>
    <row r="1" spans="1:17" ht="14.5" customHeight="1" x14ac:dyDescent="0.2">
      <c r="A1" s="36" t="s">
        <v>9</v>
      </c>
      <c r="B1" s="36"/>
      <c r="C1" s="37" t="s">
        <v>10</v>
      </c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7" ht="14.5" customHeight="1" x14ac:dyDescent="0.2">
      <c r="C2" s="38" t="s">
        <v>0</v>
      </c>
      <c r="D2" s="38"/>
      <c r="E2" s="38"/>
      <c r="F2" s="38"/>
      <c r="G2" s="38"/>
      <c r="H2" s="38"/>
      <c r="I2" s="39" t="s">
        <v>2</v>
      </c>
      <c r="J2" s="39"/>
      <c r="K2" s="39"/>
      <c r="L2" s="40" t="s">
        <v>11</v>
      </c>
      <c r="M2" s="41"/>
      <c r="N2" s="2"/>
      <c r="O2" s="2"/>
      <c r="P2" s="2"/>
      <c r="Q2" s="2"/>
    </row>
    <row r="3" spans="1:17" s="1" customFormat="1" ht="14.5" customHeight="1" x14ac:dyDescent="0.2">
      <c r="C3" s="35" t="s">
        <v>22</v>
      </c>
      <c r="D3" s="35" t="s">
        <v>23</v>
      </c>
      <c r="E3" s="35" t="s">
        <v>1</v>
      </c>
      <c r="F3" s="35" t="s">
        <v>24</v>
      </c>
      <c r="G3" s="35" t="s">
        <v>25</v>
      </c>
      <c r="H3" s="35" t="s">
        <v>26</v>
      </c>
      <c r="I3" s="43" t="s">
        <v>27</v>
      </c>
      <c r="J3" s="43" t="s">
        <v>28</v>
      </c>
      <c r="K3" s="43" t="s">
        <v>29</v>
      </c>
      <c r="L3" s="44" t="s">
        <v>30</v>
      </c>
      <c r="M3" s="44" t="s">
        <v>31</v>
      </c>
      <c r="O3" s="42" t="s">
        <v>12</v>
      </c>
      <c r="P3" s="23"/>
      <c r="Q3" s="42" t="s">
        <v>5</v>
      </c>
    </row>
    <row r="4" spans="1:17" s="1" customFormat="1" ht="14.5" customHeight="1" x14ac:dyDescent="0.2">
      <c r="B4" s="3"/>
      <c r="C4" s="35"/>
      <c r="D4" s="35"/>
      <c r="E4" s="35"/>
      <c r="F4" s="35"/>
      <c r="G4" s="35"/>
      <c r="H4" s="35"/>
      <c r="I4" s="43"/>
      <c r="J4" s="43"/>
      <c r="K4" s="43"/>
      <c r="L4" s="44"/>
      <c r="M4" s="44"/>
      <c r="O4" s="42"/>
      <c r="P4" s="23"/>
      <c r="Q4" s="42"/>
    </row>
    <row r="5" spans="1:17" s="1" customFormat="1" ht="14.5" customHeight="1" x14ac:dyDescent="0.2">
      <c r="B5" s="3"/>
      <c r="C5" s="35"/>
      <c r="D5" s="35"/>
      <c r="E5" s="35"/>
      <c r="F5" s="35"/>
      <c r="G5" s="35"/>
      <c r="H5" s="35"/>
      <c r="I5" s="43"/>
      <c r="J5" s="43"/>
      <c r="K5" s="43"/>
      <c r="L5" s="44"/>
      <c r="M5" s="44"/>
      <c r="O5" s="42"/>
      <c r="P5" s="23"/>
      <c r="Q5" s="42"/>
    </row>
    <row r="6" spans="1:17" s="1" customFormat="1" x14ac:dyDescent="0.2">
      <c r="A6" s="5" t="s">
        <v>6</v>
      </c>
      <c r="B6" s="6"/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9">
        <v>0</v>
      </c>
      <c r="M6" s="9">
        <v>0</v>
      </c>
      <c r="O6" s="21"/>
      <c r="P6" s="21"/>
      <c r="Q6" s="32">
        <f>SUM(C6:H6)-SUM(I6:M6)</f>
        <v>0</v>
      </c>
    </row>
    <row r="7" spans="1:17" s="1" customFormat="1" x14ac:dyDescent="0.2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21"/>
      <c r="P7" s="21"/>
      <c r="Q7" s="21"/>
    </row>
    <row r="8" spans="1:17" s="1" customFormat="1" x14ac:dyDescent="0.2">
      <c r="A8" s="16" t="s">
        <v>3</v>
      </c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O8" s="21"/>
      <c r="P8" s="21"/>
      <c r="Q8" s="21"/>
    </row>
    <row r="9" spans="1:17" s="1" customFormat="1" x14ac:dyDescent="0.2">
      <c r="A9" s="16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O9" s="21"/>
      <c r="P9" s="21"/>
      <c r="Q9" s="21"/>
    </row>
    <row r="10" spans="1:17" s="12" customFormat="1" ht="32" x14ac:dyDescent="0.2">
      <c r="A10" s="17">
        <v>1</v>
      </c>
      <c r="B10" s="20" t="s">
        <v>34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O10" s="24"/>
      <c r="P10" s="24"/>
      <c r="Q10" s="25">
        <f>SUM(C10:H10)-SUM(I10:M10)</f>
        <v>0</v>
      </c>
    </row>
    <row r="11" spans="1:17" s="12" customFormat="1" x14ac:dyDescent="0.2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O11" s="24"/>
      <c r="P11" s="24"/>
      <c r="Q11" s="15"/>
    </row>
    <row r="12" spans="1:17" s="12" customFormat="1" ht="29" customHeight="1" x14ac:dyDescent="0.2">
      <c r="A12" s="17">
        <v>2</v>
      </c>
      <c r="B12" s="20" t="s">
        <v>35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O12" s="24"/>
      <c r="P12" s="24"/>
      <c r="Q12" s="25">
        <f>SUM(C12:H12)-SUM(I12:M12)</f>
        <v>0</v>
      </c>
    </row>
    <row r="13" spans="1:17" s="12" customFormat="1" x14ac:dyDescent="0.2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O13" s="24"/>
      <c r="P13" s="24"/>
      <c r="Q13" s="24"/>
    </row>
    <row r="14" spans="1:17" s="12" customFormat="1" ht="48" x14ac:dyDescent="0.2">
      <c r="A14" s="17">
        <v>3</v>
      </c>
      <c r="B14" s="20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O14" s="24"/>
      <c r="P14" s="24"/>
      <c r="Q14" s="25">
        <f>SUM(C14:H14)-SUM(I14:M14)</f>
        <v>0</v>
      </c>
    </row>
    <row r="15" spans="1:17" s="12" customFormat="1" x14ac:dyDescent="0.2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O15" s="24"/>
      <c r="P15" s="24"/>
      <c r="Q15" s="24"/>
    </row>
    <row r="16" spans="1:17" s="12" customFormat="1" ht="29" customHeight="1" x14ac:dyDescent="0.2">
      <c r="A16" s="17">
        <v>4</v>
      </c>
      <c r="B16" s="20" t="s">
        <v>37</v>
      </c>
      <c r="C16" s="14"/>
      <c r="D16" s="14"/>
      <c r="E16" s="14"/>
      <c r="F16" s="14"/>
      <c r="G16" s="14"/>
      <c r="H16" s="14"/>
      <c r="I16" s="14"/>
      <c r="J16" s="14"/>
      <c r="L16" s="14"/>
      <c r="M16" s="14"/>
      <c r="O16" s="24" t="s">
        <v>16</v>
      </c>
      <c r="P16" s="24"/>
      <c r="Q16" s="25">
        <f>SUM(C16:H16)-SUM(I16:M16)</f>
        <v>0</v>
      </c>
    </row>
    <row r="17" spans="1:17" s="12" customFormat="1" x14ac:dyDescent="0.2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O17" s="24"/>
      <c r="P17" s="24"/>
      <c r="Q17" s="24"/>
    </row>
    <row r="18" spans="1:17" s="12" customFormat="1" ht="29" customHeight="1" x14ac:dyDescent="0.2">
      <c r="A18" s="17">
        <v>5</v>
      </c>
      <c r="B18" s="20" t="s">
        <v>13</v>
      </c>
      <c r="C18" s="14"/>
      <c r="H18" s="14"/>
      <c r="I18" s="14"/>
      <c r="J18" s="14"/>
      <c r="K18" s="14"/>
      <c r="L18" s="14"/>
      <c r="M18" s="14"/>
      <c r="O18" s="24"/>
      <c r="P18" s="24"/>
      <c r="Q18" s="25">
        <f>SUM(C18:H18)-SUM(I18:M18)</f>
        <v>0</v>
      </c>
    </row>
    <row r="19" spans="1:17" s="12" customFormat="1" x14ac:dyDescent="0.2">
      <c r="A19" s="26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O19" s="24"/>
      <c r="P19" s="24"/>
      <c r="Q19" s="25"/>
    </row>
    <row r="20" spans="1:17" s="12" customFormat="1" ht="32" x14ac:dyDescent="0.2">
      <c r="A20" s="17">
        <v>6</v>
      </c>
      <c r="B20" s="20" t="s">
        <v>38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O20" s="24"/>
      <c r="P20" s="24"/>
      <c r="Q20" s="25">
        <f>SUM(C20:H20)-SUM(I20:M20)</f>
        <v>0</v>
      </c>
    </row>
    <row r="21" spans="1:17" s="12" customFormat="1" x14ac:dyDescent="0.2">
      <c r="A21" s="26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O21" s="24"/>
      <c r="P21" s="24"/>
      <c r="Q21" s="24"/>
    </row>
    <row r="22" spans="1:17" s="12" customFormat="1" ht="32" x14ac:dyDescent="0.2">
      <c r="A22" s="17">
        <v>7</v>
      </c>
      <c r="B22" s="20" t="s">
        <v>39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P22" s="24"/>
      <c r="Q22" s="25">
        <f>SUM(C22:H22)-SUM(I22:M22)</f>
        <v>0</v>
      </c>
    </row>
    <row r="23" spans="1:17" s="12" customFormat="1" x14ac:dyDescent="0.2">
      <c r="A23" s="26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O23" s="24"/>
      <c r="P23" s="24"/>
      <c r="Q23" s="24"/>
    </row>
    <row r="24" spans="1:17" s="12" customFormat="1" ht="32" x14ac:dyDescent="0.2">
      <c r="A24" s="17">
        <v>8</v>
      </c>
      <c r="B24" s="20" t="s">
        <v>40</v>
      </c>
      <c r="D24" s="14"/>
      <c r="E24" s="14"/>
      <c r="F24" s="14"/>
      <c r="G24" s="14"/>
      <c r="H24" s="14"/>
      <c r="J24" s="14"/>
      <c r="K24" s="14"/>
      <c r="L24" s="14"/>
      <c r="M24" s="14"/>
      <c r="O24" s="24" t="s">
        <v>4</v>
      </c>
      <c r="P24" s="24"/>
      <c r="Q24" s="25">
        <f>SUM(C24:H24)-SUM(I24:M24)</f>
        <v>0</v>
      </c>
    </row>
    <row r="25" spans="1:17" s="12" customFormat="1" ht="29" customHeight="1" x14ac:dyDescent="0.2">
      <c r="B25" s="20" t="s">
        <v>18</v>
      </c>
      <c r="C25" s="14"/>
      <c r="E25" s="14"/>
      <c r="F25" s="14"/>
      <c r="G25" s="14"/>
      <c r="H25" s="14"/>
      <c r="I25" s="14"/>
      <c r="J25" s="14"/>
      <c r="K25" s="14"/>
      <c r="L25" s="14"/>
      <c r="M25" s="14"/>
      <c r="O25" s="33" t="s">
        <v>17</v>
      </c>
      <c r="P25" s="24"/>
      <c r="Q25" s="25">
        <f>SUM(C25:H25)-SUM(I25:M25)</f>
        <v>0</v>
      </c>
    </row>
    <row r="26" spans="1:17" s="12" customFormat="1" x14ac:dyDescent="0.2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O26" s="24"/>
      <c r="P26" s="24"/>
      <c r="Q26" s="24"/>
    </row>
    <row r="27" spans="1:17" s="12" customFormat="1" ht="16" x14ac:dyDescent="0.2">
      <c r="A27" s="17">
        <v>9</v>
      </c>
      <c r="B27" s="20" t="s">
        <v>14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O27" s="24"/>
      <c r="P27" s="24"/>
      <c r="Q27" s="25">
        <f>SUM(C27:H27)-SUM(I27:M27)</f>
        <v>0</v>
      </c>
    </row>
    <row r="28" spans="1:17" s="12" customFormat="1" x14ac:dyDescent="0.2">
      <c r="A28" s="26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O28" s="24"/>
      <c r="P28" s="24"/>
      <c r="Q28" s="25"/>
    </row>
    <row r="29" spans="1:17" s="12" customFormat="1" ht="43.5" customHeight="1" x14ac:dyDescent="0.2">
      <c r="A29" s="17">
        <v>10</v>
      </c>
      <c r="B29" s="20" t="s">
        <v>41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O29" s="24" t="s">
        <v>20</v>
      </c>
      <c r="P29" s="24"/>
      <c r="Q29" s="25">
        <f>SUM(C29:H29)-SUM(I29:M29)</f>
        <v>0</v>
      </c>
    </row>
    <row r="30" spans="1:17" s="12" customFormat="1" x14ac:dyDescent="0.2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O30" s="24"/>
      <c r="P30" s="24"/>
      <c r="Q30" s="24"/>
    </row>
    <row r="31" spans="1:17" s="12" customFormat="1" ht="32" x14ac:dyDescent="0.2">
      <c r="A31" s="17">
        <v>11</v>
      </c>
      <c r="B31" s="20" t="s">
        <v>43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P31" s="24"/>
      <c r="Q31" s="25">
        <f>SUM(C29:H29)-SUM(I29:M29)</f>
        <v>0</v>
      </c>
    </row>
    <row r="32" spans="1:17" s="12" customFormat="1" x14ac:dyDescent="0.2">
      <c r="A32" s="26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O32" s="24"/>
      <c r="P32" s="24"/>
      <c r="Q32" s="24"/>
    </row>
    <row r="33" spans="1:17" s="12" customFormat="1" ht="29" customHeight="1" x14ac:dyDescent="0.2">
      <c r="A33" s="17">
        <v>12</v>
      </c>
      <c r="B33" s="20" t="s">
        <v>42</v>
      </c>
      <c r="C33" s="14"/>
      <c r="E33" s="14"/>
      <c r="O33" s="24"/>
      <c r="P33" s="24"/>
      <c r="Q33" s="25">
        <f>SUM(C31:H31)-SUM(I31:M31)</f>
        <v>0</v>
      </c>
    </row>
    <row r="34" spans="1:17" s="12" customFormat="1" x14ac:dyDescent="0.2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O34" s="24"/>
      <c r="P34" s="24"/>
      <c r="Q34" s="24"/>
    </row>
    <row r="35" spans="1:17" s="12" customFormat="1" ht="32" x14ac:dyDescent="0.2">
      <c r="A35" s="17">
        <v>13</v>
      </c>
      <c r="B35" s="20" t="s">
        <v>15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O35" s="24" t="s">
        <v>21</v>
      </c>
      <c r="P35" s="24"/>
      <c r="Q35" s="25">
        <f>SUM(C35:H35)-SUM(I35:M35)</f>
        <v>0</v>
      </c>
    </row>
    <row r="36" spans="1:17" s="12" customFormat="1" x14ac:dyDescent="0.2">
      <c r="A36" s="26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O36" s="24"/>
      <c r="P36" s="24"/>
      <c r="Q36" s="24"/>
    </row>
    <row r="37" spans="1:17" s="12" customFormat="1" ht="43.5" customHeight="1" x14ac:dyDescent="0.2">
      <c r="A37" s="17">
        <v>14</v>
      </c>
      <c r="B37" s="20" t="s">
        <v>32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O37" s="24" t="s">
        <v>8</v>
      </c>
      <c r="P37" s="24"/>
      <c r="Q37" s="25">
        <f>SUM(C37:H37)-SUM(I37:M37)</f>
        <v>0</v>
      </c>
    </row>
    <row r="38" spans="1:17" s="12" customFormat="1" x14ac:dyDescent="0.2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O38" s="24"/>
      <c r="P38" s="24"/>
      <c r="Q38" s="24"/>
    </row>
    <row r="39" spans="1:17" s="12" customFormat="1" ht="29" customHeight="1" x14ac:dyDescent="0.2">
      <c r="A39" s="17">
        <v>15</v>
      </c>
      <c r="B39" s="20" t="s">
        <v>33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O39" s="24" t="s">
        <v>19</v>
      </c>
      <c r="P39" s="24"/>
      <c r="Q39" s="25">
        <f>SUM(C39:H39)-SUM(I39:M39)</f>
        <v>0</v>
      </c>
    </row>
    <row r="40" spans="1:17" s="12" customFormat="1" x14ac:dyDescent="0.2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O40" s="24"/>
      <c r="P40" s="24"/>
      <c r="Q40" s="24"/>
    </row>
    <row r="41" spans="1:17" s="12" customFormat="1" x14ac:dyDescent="0.2">
      <c r="A41" s="18" t="s">
        <v>7</v>
      </c>
      <c r="B41" s="19"/>
      <c r="C41" s="29">
        <f t="shared" ref="C41:I41" si="0">SUM(C6:C40)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30">
        <f t="shared" si="0"/>
        <v>0</v>
      </c>
      <c r="J41" s="30">
        <f t="shared" ref="J41:K41" si="1">SUM(J6:J40)</f>
        <v>0</v>
      </c>
      <c r="K41" s="30">
        <f t="shared" si="1"/>
        <v>0</v>
      </c>
      <c r="L41" s="31">
        <f>SUM(L6:L40)</f>
        <v>0</v>
      </c>
      <c r="M41" s="31">
        <f>SUM(M6:M40)</f>
        <v>0</v>
      </c>
      <c r="O41" s="22"/>
      <c r="P41" s="22"/>
      <c r="Q41" s="32">
        <f>SUM(C41:H41)-SUM(I41:M41)</f>
        <v>0</v>
      </c>
    </row>
    <row r="42" spans="1:17" s="1" customFormat="1" x14ac:dyDescent="0.2">
      <c r="B4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7" s="1" customFormat="1" x14ac:dyDescent="0.2">
      <c r="B4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7" s="1" customFormat="1" x14ac:dyDescent="0.2">
      <c r="B4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/>
    </row>
    <row r="45" spans="1:17" s="1" customFormat="1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/>
    </row>
    <row r="46" spans="1:17" s="1" customFormat="1" x14ac:dyDescent="0.2">
      <c r="B4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/>
    </row>
    <row r="47" spans="1:17" s="1" customFormat="1" x14ac:dyDescent="0.2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7" s="1" customFormat="1" x14ac:dyDescent="0.2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4" s="1" customFormat="1" x14ac:dyDescent="0.2"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2:14" s="1" customFormat="1" x14ac:dyDescent="0.2">
      <c r="B50"/>
      <c r="C50"/>
      <c r="D50"/>
      <c r="E50"/>
      <c r="F50"/>
      <c r="G50"/>
      <c r="H50"/>
      <c r="I50"/>
      <c r="J50"/>
      <c r="K50"/>
      <c r="L50"/>
      <c r="M50"/>
      <c r="N50"/>
    </row>
  </sheetData>
  <mergeCells count="18">
    <mergeCell ref="O3:O5"/>
    <mergeCell ref="Q3:Q5"/>
    <mergeCell ref="H3:H5"/>
    <mergeCell ref="I3:I5"/>
    <mergeCell ref="J3:J5"/>
    <mergeCell ref="K3:K5"/>
    <mergeCell ref="L3:L5"/>
    <mergeCell ref="M3:M5"/>
    <mergeCell ref="A1:B1"/>
    <mergeCell ref="C1:M1"/>
    <mergeCell ref="C2:H2"/>
    <mergeCell ref="I2:K2"/>
    <mergeCell ref="L2:M2"/>
    <mergeCell ref="C3:C5"/>
    <mergeCell ref="D3:D5"/>
    <mergeCell ref="E3:E5"/>
    <mergeCell ref="F3:F5"/>
    <mergeCell ref="G3:G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0FC9-6FE6-4B10-8E91-4A1B4B7DEC09}">
  <sheetPr>
    <tabColor theme="6"/>
  </sheetPr>
  <dimension ref="A1:Q50"/>
  <sheetViews>
    <sheetView workbookViewId="0">
      <pane ySplit="6" topLeftCell="A7" activePane="bottomLeft" state="frozen"/>
      <selection activeCell="A29" sqref="A29:XFD29"/>
      <selection pane="bottomLeft" activeCell="C10" sqref="C10"/>
    </sheetView>
  </sheetViews>
  <sheetFormatPr baseColWidth="10" defaultColWidth="9.1640625" defaultRowHeight="15" x14ac:dyDescent="0.2"/>
  <cols>
    <col min="1" max="1" width="2.83203125" bestFit="1" customWidth="1"/>
    <col min="2" max="2" width="54.6640625" customWidth="1"/>
    <col min="3" max="6" width="14.6640625" customWidth="1"/>
    <col min="7" max="7" width="16.1640625" customWidth="1"/>
    <col min="8" max="13" width="14.6640625" customWidth="1"/>
    <col min="14" max="14" width="2.6640625" customWidth="1"/>
    <col min="15" max="15" width="14.6640625" style="1" customWidth="1"/>
    <col min="16" max="16" width="2.6640625" style="1" customWidth="1"/>
    <col min="17" max="17" width="10.6640625" style="1" customWidth="1"/>
  </cols>
  <sheetData>
    <row r="1" spans="1:17" ht="14.5" customHeight="1" x14ac:dyDescent="0.2">
      <c r="A1" s="36" t="s">
        <v>9</v>
      </c>
      <c r="B1" s="36"/>
      <c r="C1" s="37" t="s">
        <v>10</v>
      </c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7" ht="14.5" customHeight="1" x14ac:dyDescent="0.2">
      <c r="C2" s="38" t="s">
        <v>0</v>
      </c>
      <c r="D2" s="38"/>
      <c r="E2" s="38"/>
      <c r="F2" s="38"/>
      <c r="G2" s="38"/>
      <c r="H2" s="38"/>
      <c r="I2" s="39" t="s">
        <v>2</v>
      </c>
      <c r="J2" s="39"/>
      <c r="K2" s="39"/>
      <c r="L2" s="40" t="s">
        <v>11</v>
      </c>
      <c r="M2" s="41"/>
      <c r="N2" s="2"/>
      <c r="O2" s="2"/>
      <c r="P2" s="2"/>
      <c r="Q2" s="2"/>
    </row>
    <row r="3" spans="1:17" s="1" customFormat="1" ht="14.5" customHeight="1" x14ac:dyDescent="0.2">
      <c r="C3" s="35" t="s">
        <v>22</v>
      </c>
      <c r="D3" s="35" t="s">
        <v>23</v>
      </c>
      <c r="E3" s="35" t="s">
        <v>1</v>
      </c>
      <c r="F3" s="35" t="s">
        <v>24</v>
      </c>
      <c r="G3" s="35" t="s">
        <v>25</v>
      </c>
      <c r="H3" s="35" t="s">
        <v>26</v>
      </c>
      <c r="I3" s="43" t="s">
        <v>27</v>
      </c>
      <c r="J3" s="43" t="s">
        <v>28</v>
      </c>
      <c r="K3" s="43" t="s">
        <v>29</v>
      </c>
      <c r="L3" s="44" t="s">
        <v>30</v>
      </c>
      <c r="M3" s="44" t="s">
        <v>31</v>
      </c>
      <c r="O3" s="42" t="s">
        <v>12</v>
      </c>
      <c r="P3" s="23"/>
      <c r="Q3" s="42" t="s">
        <v>5</v>
      </c>
    </row>
    <row r="4" spans="1:17" s="1" customFormat="1" ht="14.5" customHeight="1" x14ac:dyDescent="0.2">
      <c r="B4" s="3"/>
      <c r="C4" s="35"/>
      <c r="D4" s="35"/>
      <c r="E4" s="35"/>
      <c r="F4" s="35"/>
      <c r="G4" s="35"/>
      <c r="H4" s="35"/>
      <c r="I4" s="43"/>
      <c r="J4" s="43"/>
      <c r="K4" s="43"/>
      <c r="L4" s="44"/>
      <c r="M4" s="44"/>
      <c r="O4" s="42"/>
      <c r="P4" s="23"/>
      <c r="Q4" s="42"/>
    </row>
    <row r="5" spans="1:17" s="1" customFormat="1" ht="14.5" customHeight="1" x14ac:dyDescent="0.2">
      <c r="B5" s="3"/>
      <c r="C5" s="35"/>
      <c r="D5" s="35"/>
      <c r="E5" s="35"/>
      <c r="F5" s="35"/>
      <c r="G5" s="35"/>
      <c r="H5" s="35"/>
      <c r="I5" s="43"/>
      <c r="J5" s="43"/>
      <c r="K5" s="43"/>
      <c r="L5" s="44"/>
      <c r="M5" s="44"/>
      <c r="O5" s="42"/>
      <c r="P5" s="23"/>
      <c r="Q5" s="42"/>
    </row>
    <row r="6" spans="1:17" s="1" customFormat="1" x14ac:dyDescent="0.2">
      <c r="A6" s="5" t="s">
        <v>6</v>
      </c>
      <c r="B6" s="6"/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9">
        <v>0</v>
      </c>
      <c r="M6" s="9">
        <v>0</v>
      </c>
      <c r="O6" s="21"/>
      <c r="P6" s="21"/>
      <c r="Q6" s="32">
        <f>SUM(C6:H6)-SUM(I6:M6)</f>
        <v>0</v>
      </c>
    </row>
    <row r="7" spans="1:17" s="1" customFormat="1" x14ac:dyDescent="0.2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21"/>
      <c r="P7" s="21"/>
      <c r="Q7" s="21"/>
    </row>
    <row r="8" spans="1:17" s="1" customFormat="1" x14ac:dyDescent="0.2">
      <c r="A8" s="16" t="s">
        <v>3</v>
      </c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O8" s="21"/>
      <c r="P8" s="21"/>
      <c r="Q8" s="21"/>
    </row>
    <row r="9" spans="1:17" s="1" customFormat="1" x14ac:dyDescent="0.2">
      <c r="A9" s="16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O9" s="21"/>
      <c r="P9" s="21"/>
      <c r="Q9" s="21"/>
    </row>
    <row r="10" spans="1:17" s="12" customFormat="1" ht="32" x14ac:dyDescent="0.2">
      <c r="A10" s="17">
        <v>1</v>
      </c>
      <c r="B10" s="20" t="s">
        <v>34</v>
      </c>
      <c r="C10" s="14">
        <v>1000000</v>
      </c>
      <c r="D10" s="14"/>
      <c r="E10" s="14"/>
      <c r="F10" s="14"/>
      <c r="G10" s="14"/>
      <c r="H10" s="14"/>
      <c r="I10" s="14"/>
      <c r="J10" s="14"/>
      <c r="K10" s="14"/>
      <c r="L10" s="14">
        <v>1000000</v>
      </c>
      <c r="M10" s="14"/>
      <c r="O10" s="24"/>
      <c r="P10" s="24"/>
      <c r="Q10" s="25">
        <f>SUM(C10:H10)-SUM(I10:M10)</f>
        <v>0</v>
      </c>
    </row>
    <row r="11" spans="1:17" s="12" customFormat="1" x14ac:dyDescent="0.2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O11" s="24"/>
      <c r="P11" s="24"/>
      <c r="Q11" s="15"/>
    </row>
    <row r="12" spans="1:17" s="12" customFormat="1" ht="29" customHeight="1" x14ac:dyDescent="0.2">
      <c r="A12" s="17">
        <v>2</v>
      </c>
      <c r="B12" s="20" t="s">
        <v>35</v>
      </c>
      <c r="C12" s="14">
        <v>-24000</v>
      </c>
      <c r="D12" s="14"/>
      <c r="E12" s="14"/>
      <c r="F12" s="14">
        <v>24000</v>
      </c>
      <c r="G12" s="14"/>
      <c r="H12" s="14"/>
      <c r="I12" s="14"/>
      <c r="J12" s="14"/>
      <c r="K12" s="14"/>
      <c r="L12" s="14"/>
      <c r="M12" s="14"/>
      <c r="O12" s="24"/>
      <c r="P12" s="24"/>
      <c r="Q12" s="25">
        <f>SUM(C12:H12)-SUM(I12:M12)</f>
        <v>0</v>
      </c>
    </row>
    <row r="13" spans="1:17" s="12" customFormat="1" x14ac:dyDescent="0.2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O13" s="24"/>
      <c r="P13" s="24"/>
      <c r="Q13" s="24"/>
    </row>
    <row r="14" spans="1:17" s="12" customFormat="1" ht="48" x14ac:dyDescent="0.2">
      <c r="A14" s="17">
        <v>3</v>
      </c>
      <c r="B14" s="20" t="s">
        <v>36</v>
      </c>
      <c r="C14" s="14">
        <v>400000</v>
      </c>
      <c r="D14" s="14"/>
      <c r="E14" s="14"/>
      <c r="F14" s="14"/>
      <c r="G14" s="14"/>
      <c r="H14" s="14"/>
      <c r="I14" s="14"/>
      <c r="J14" s="14"/>
      <c r="K14" s="14">
        <v>400000</v>
      </c>
      <c r="L14" s="14"/>
      <c r="M14" s="14"/>
      <c r="O14" s="24"/>
      <c r="P14" s="24"/>
      <c r="Q14" s="25">
        <f>SUM(C14:H14)-SUM(I14:M14)</f>
        <v>0</v>
      </c>
    </row>
    <row r="15" spans="1:17" s="12" customFormat="1" x14ac:dyDescent="0.2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O15" s="24"/>
      <c r="P15" s="24"/>
      <c r="Q15" s="24"/>
    </row>
    <row r="16" spans="1:17" s="12" customFormat="1" ht="29" customHeight="1" x14ac:dyDescent="0.2">
      <c r="A16" s="17">
        <v>4</v>
      </c>
      <c r="B16" s="20" t="s">
        <v>37</v>
      </c>
      <c r="C16" s="14"/>
      <c r="D16" s="14"/>
      <c r="E16" s="14"/>
      <c r="F16" s="14"/>
      <c r="G16" s="14"/>
      <c r="H16" s="14"/>
      <c r="I16" s="14">
        <v>2000</v>
      </c>
      <c r="J16" s="14"/>
      <c r="L16" s="14"/>
      <c r="M16" s="14">
        <v>-2000</v>
      </c>
      <c r="O16" s="24" t="s">
        <v>16</v>
      </c>
      <c r="P16" s="24"/>
      <c r="Q16" s="25">
        <f>SUM(C16:H16)-SUM(I16:M16)</f>
        <v>0</v>
      </c>
    </row>
    <row r="17" spans="1:17" s="12" customFormat="1" x14ac:dyDescent="0.2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O17" s="24"/>
      <c r="P17" s="24"/>
      <c r="Q17" s="24"/>
    </row>
    <row r="18" spans="1:17" s="12" customFormat="1" ht="29" customHeight="1" x14ac:dyDescent="0.2">
      <c r="A18" s="17">
        <v>5</v>
      </c>
      <c r="B18" s="20" t="s">
        <v>13</v>
      </c>
      <c r="C18" s="14">
        <v>-2000</v>
      </c>
      <c r="H18" s="14"/>
      <c r="I18" s="14">
        <v>-2000</v>
      </c>
      <c r="J18" s="14"/>
      <c r="K18" s="14"/>
      <c r="L18" s="14"/>
      <c r="M18" s="14"/>
      <c r="O18" s="24"/>
      <c r="P18" s="24"/>
      <c r="Q18" s="25">
        <f>SUM(C18:H18)-SUM(I18:M18)</f>
        <v>0</v>
      </c>
    </row>
    <row r="19" spans="1:17" s="12" customFormat="1" x14ac:dyDescent="0.2">
      <c r="A19" s="26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O19" s="24"/>
      <c r="P19" s="24"/>
      <c r="Q19" s="25"/>
    </row>
    <row r="20" spans="1:17" s="12" customFormat="1" ht="32" x14ac:dyDescent="0.2">
      <c r="A20" s="17">
        <v>6</v>
      </c>
      <c r="B20" s="20" t="s">
        <v>38</v>
      </c>
      <c r="C20" s="14">
        <v>-650000</v>
      </c>
      <c r="D20" s="14"/>
      <c r="E20" s="14"/>
      <c r="F20" s="14"/>
      <c r="G20" s="14">
        <v>650000</v>
      </c>
      <c r="H20" s="14"/>
      <c r="I20" s="14"/>
      <c r="J20" s="14"/>
      <c r="K20" s="14"/>
      <c r="L20" s="14"/>
      <c r="M20" s="14"/>
      <c r="O20" s="24"/>
      <c r="P20" s="24"/>
      <c r="Q20" s="25">
        <f>SUM(C20:H20)-SUM(I20:M20)</f>
        <v>0</v>
      </c>
    </row>
    <row r="21" spans="1:17" s="12" customFormat="1" x14ac:dyDescent="0.2">
      <c r="A21" s="26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O21" s="24"/>
      <c r="P21" s="24"/>
      <c r="Q21" s="24"/>
    </row>
    <row r="22" spans="1:17" s="12" customFormat="1" ht="32" x14ac:dyDescent="0.2">
      <c r="A22" s="17">
        <v>7</v>
      </c>
      <c r="B22" s="20" t="s">
        <v>39</v>
      </c>
      <c r="C22" s="14">
        <v>-25000</v>
      </c>
      <c r="D22" s="14"/>
      <c r="E22" s="14"/>
      <c r="F22" s="14">
        <v>25000</v>
      </c>
      <c r="G22" s="14"/>
      <c r="H22" s="14"/>
      <c r="I22" s="14"/>
      <c r="J22" s="14"/>
      <c r="K22" s="14"/>
      <c r="L22" s="14"/>
      <c r="P22" s="24"/>
      <c r="Q22" s="25">
        <f>SUM(C22:H22)-SUM(I22:M22)</f>
        <v>0</v>
      </c>
    </row>
    <row r="23" spans="1:17" s="12" customFormat="1" x14ac:dyDescent="0.2">
      <c r="A23" s="26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O23" s="24"/>
      <c r="P23" s="24"/>
      <c r="Q23" s="24"/>
    </row>
    <row r="24" spans="1:17" s="12" customFormat="1" ht="32" x14ac:dyDescent="0.2">
      <c r="A24" s="17">
        <v>8</v>
      </c>
      <c r="B24" s="20" t="s">
        <v>40</v>
      </c>
      <c r="D24" s="14">
        <v>500000</v>
      </c>
      <c r="E24" s="14"/>
      <c r="F24" s="14"/>
      <c r="G24" s="14"/>
      <c r="H24" s="14"/>
      <c r="J24" s="14"/>
      <c r="K24" s="14"/>
      <c r="L24" s="14"/>
      <c r="M24" s="14">
        <v>500000</v>
      </c>
      <c r="O24" s="24" t="s">
        <v>4</v>
      </c>
      <c r="P24" s="24"/>
      <c r="Q24" s="25">
        <f>SUM(C24:H24)-SUM(I24:M24)</f>
        <v>0</v>
      </c>
    </row>
    <row r="25" spans="1:17" s="12" customFormat="1" ht="29" customHeight="1" x14ac:dyDescent="0.2">
      <c r="B25" s="20" t="s">
        <v>18</v>
      </c>
      <c r="C25" s="14">
        <v>-350000</v>
      </c>
      <c r="E25" s="14"/>
      <c r="F25" s="14"/>
      <c r="G25" s="14"/>
      <c r="H25" s="14"/>
      <c r="I25" s="14"/>
      <c r="J25" s="14"/>
      <c r="K25" s="14"/>
      <c r="L25" s="14"/>
      <c r="M25" s="14">
        <v>-350000</v>
      </c>
      <c r="O25" s="33" t="s">
        <v>17</v>
      </c>
      <c r="P25" s="24"/>
      <c r="Q25" s="25">
        <f>SUM(C25:H25)-SUM(I25:M25)</f>
        <v>0</v>
      </c>
    </row>
    <row r="26" spans="1:17" s="12" customFormat="1" x14ac:dyDescent="0.2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O26" s="24"/>
      <c r="P26" s="24"/>
      <c r="Q26" s="24"/>
    </row>
    <row r="27" spans="1:17" s="12" customFormat="1" ht="16" x14ac:dyDescent="0.2">
      <c r="A27" s="17">
        <v>9</v>
      </c>
      <c r="B27" s="20" t="s">
        <v>14</v>
      </c>
      <c r="C27" s="14">
        <v>500000</v>
      </c>
      <c r="D27" s="14">
        <v>-500000</v>
      </c>
      <c r="E27" s="14"/>
      <c r="F27" s="14"/>
      <c r="G27" s="14"/>
      <c r="H27" s="14"/>
      <c r="I27" s="14"/>
      <c r="J27" s="14"/>
      <c r="K27" s="14"/>
      <c r="L27" s="14"/>
      <c r="M27" s="14"/>
      <c r="O27" s="24"/>
      <c r="P27" s="24"/>
      <c r="Q27" s="25">
        <f>SUM(C27:H27)-SUM(I27:M27)</f>
        <v>0</v>
      </c>
    </row>
    <row r="28" spans="1:17" s="12" customFormat="1" x14ac:dyDescent="0.2">
      <c r="A28" s="26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O28" s="24"/>
      <c r="P28" s="24"/>
      <c r="Q28" s="25"/>
    </row>
    <row r="29" spans="1:17" s="12" customFormat="1" ht="43.5" customHeight="1" x14ac:dyDescent="0.2">
      <c r="A29" s="17">
        <v>10</v>
      </c>
      <c r="B29" s="20" t="s">
        <v>41</v>
      </c>
      <c r="C29" s="14">
        <v>-420000</v>
      </c>
      <c r="D29" s="14"/>
      <c r="E29" s="14"/>
      <c r="F29" s="14"/>
      <c r="G29" s="14"/>
      <c r="H29" s="14"/>
      <c r="I29" s="14"/>
      <c r="J29" s="14"/>
      <c r="K29" s="14">
        <v>-400000</v>
      </c>
      <c r="L29" s="14"/>
      <c r="M29" s="14">
        <v>-20000</v>
      </c>
      <c r="O29" s="24" t="s">
        <v>20</v>
      </c>
      <c r="P29" s="24"/>
      <c r="Q29" s="25">
        <f>SUM(C29:H29)-SUM(I29:M29)</f>
        <v>0</v>
      </c>
    </row>
    <row r="30" spans="1:17" s="12" customFormat="1" x14ac:dyDescent="0.2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O30" s="24"/>
      <c r="P30" s="24"/>
      <c r="Q30" s="24"/>
    </row>
    <row r="31" spans="1:17" s="12" customFormat="1" ht="32" x14ac:dyDescent="0.2">
      <c r="A31" s="17">
        <v>11</v>
      </c>
      <c r="B31" s="20" t="s">
        <v>43</v>
      </c>
      <c r="C31" s="14">
        <v>200000</v>
      </c>
      <c r="D31" s="14"/>
      <c r="E31" s="14"/>
      <c r="F31" s="14"/>
      <c r="G31" s="14"/>
      <c r="H31" s="14"/>
      <c r="I31" s="14"/>
      <c r="J31" s="14">
        <v>200000</v>
      </c>
      <c r="K31" s="14"/>
      <c r="L31" s="14"/>
      <c r="M31" s="14"/>
      <c r="P31" s="24"/>
      <c r="Q31" s="25">
        <f>SUM(C29:H29)-SUM(I29:M29)</f>
        <v>0</v>
      </c>
    </row>
    <row r="32" spans="1:17" s="12" customFormat="1" x14ac:dyDescent="0.2">
      <c r="A32" s="26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O32" s="24"/>
      <c r="P32" s="24"/>
      <c r="Q32" s="24"/>
    </row>
    <row r="33" spans="1:17" s="12" customFormat="1" ht="29" customHeight="1" x14ac:dyDescent="0.2">
      <c r="A33" s="17">
        <v>12</v>
      </c>
      <c r="B33" s="20" t="s">
        <v>42</v>
      </c>
      <c r="C33" s="14">
        <v>-325000</v>
      </c>
      <c r="E33" s="14">
        <v>325000</v>
      </c>
      <c r="O33" s="24"/>
      <c r="P33" s="24"/>
      <c r="Q33" s="25">
        <f>SUM(C31:H31)-SUM(I31:M31)</f>
        <v>0</v>
      </c>
    </row>
    <row r="34" spans="1:17" s="12" customFormat="1" x14ac:dyDescent="0.2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O34" s="24"/>
      <c r="P34" s="24"/>
      <c r="Q34" s="24"/>
    </row>
    <row r="35" spans="1:17" s="12" customFormat="1" ht="32" x14ac:dyDescent="0.2">
      <c r="A35" s="17">
        <v>13</v>
      </c>
      <c r="B35" s="20" t="s">
        <v>15</v>
      </c>
      <c r="C35" s="14">
        <v>1500</v>
      </c>
      <c r="D35" s="14"/>
      <c r="E35" s="14"/>
      <c r="F35" s="14">
        <v>-25000</v>
      </c>
      <c r="G35" s="14"/>
      <c r="H35" s="14"/>
      <c r="I35" s="14"/>
      <c r="J35" s="14"/>
      <c r="K35" s="14"/>
      <c r="L35" s="14"/>
      <c r="M35" s="14">
        <v>-23500</v>
      </c>
      <c r="O35" s="24" t="s">
        <v>21</v>
      </c>
      <c r="P35" s="24"/>
      <c r="Q35" s="25">
        <f>SUM(C35:H35)-SUM(I35:M35)</f>
        <v>0</v>
      </c>
    </row>
    <row r="36" spans="1:17" s="12" customFormat="1" x14ac:dyDescent="0.2">
      <c r="A36" s="26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O36" s="24"/>
      <c r="P36" s="24"/>
      <c r="Q36" s="24"/>
    </row>
    <row r="37" spans="1:17" s="12" customFormat="1" ht="43.5" customHeight="1" x14ac:dyDescent="0.2">
      <c r="A37" s="17">
        <v>14</v>
      </c>
      <c r="B37" s="20" t="s">
        <v>32</v>
      </c>
      <c r="C37" s="14"/>
      <c r="D37" s="14"/>
      <c r="E37" s="14"/>
      <c r="F37" s="14">
        <v>-12000</v>
      </c>
      <c r="G37" s="14"/>
      <c r="H37" s="14"/>
      <c r="I37" s="14"/>
      <c r="J37" s="14"/>
      <c r="K37" s="14"/>
      <c r="L37" s="14"/>
      <c r="M37" s="14">
        <v>-12000</v>
      </c>
      <c r="O37" s="24" t="s">
        <v>8</v>
      </c>
      <c r="P37" s="24"/>
      <c r="Q37" s="25">
        <f>SUM(C37:H37)-SUM(I37:M37)</f>
        <v>0</v>
      </c>
    </row>
    <row r="38" spans="1:17" s="12" customFormat="1" x14ac:dyDescent="0.2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O38" s="24"/>
      <c r="P38" s="24"/>
      <c r="Q38" s="24"/>
    </row>
    <row r="39" spans="1:17" s="12" customFormat="1" ht="29" customHeight="1" x14ac:dyDescent="0.2">
      <c r="A39" s="17">
        <v>15</v>
      </c>
      <c r="B39" s="20" t="s">
        <v>33</v>
      </c>
      <c r="C39" s="14"/>
      <c r="D39" s="14"/>
      <c r="E39" s="14"/>
      <c r="F39" s="14"/>
      <c r="G39" s="14">
        <v>-65000</v>
      </c>
      <c r="H39" s="14"/>
      <c r="I39" s="14"/>
      <c r="J39" s="14"/>
      <c r="K39" s="14"/>
      <c r="L39" s="14"/>
      <c r="M39" s="14">
        <v>-65000</v>
      </c>
      <c r="O39" s="24" t="s">
        <v>19</v>
      </c>
      <c r="P39" s="24"/>
      <c r="Q39" s="25">
        <f>SUM(C39:H39)-SUM(I39:M39)</f>
        <v>0</v>
      </c>
    </row>
    <row r="40" spans="1:17" s="12" customFormat="1" x14ac:dyDescent="0.2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O40" s="24"/>
      <c r="P40" s="24"/>
      <c r="Q40" s="24"/>
    </row>
    <row r="41" spans="1:17" s="12" customFormat="1" x14ac:dyDescent="0.2">
      <c r="A41" s="18" t="s">
        <v>7</v>
      </c>
      <c r="B41" s="19"/>
      <c r="C41" s="29">
        <f t="shared" ref="C41:I41" si="0">SUM(C6:C40)</f>
        <v>305500</v>
      </c>
      <c r="D41" s="29">
        <f t="shared" si="0"/>
        <v>0</v>
      </c>
      <c r="E41" s="29">
        <f t="shared" si="0"/>
        <v>325000</v>
      </c>
      <c r="F41" s="29">
        <f t="shared" si="0"/>
        <v>12000</v>
      </c>
      <c r="G41" s="29">
        <f t="shared" si="0"/>
        <v>585000</v>
      </c>
      <c r="H41" s="29">
        <f t="shared" si="0"/>
        <v>0</v>
      </c>
      <c r="I41" s="30">
        <f t="shared" si="0"/>
        <v>0</v>
      </c>
      <c r="J41" s="30">
        <f t="shared" ref="J41:K41" si="1">SUM(J6:J40)</f>
        <v>200000</v>
      </c>
      <c r="K41" s="30">
        <f t="shared" si="1"/>
        <v>0</v>
      </c>
      <c r="L41" s="31">
        <f>SUM(L6:L40)</f>
        <v>1000000</v>
      </c>
      <c r="M41" s="31">
        <f>SUM(M6:M40)</f>
        <v>27500</v>
      </c>
      <c r="O41" s="22"/>
      <c r="P41" s="22"/>
      <c r="Q41" s="32">
        <f>SUM(C41:H41)-SUM(I41:M41)</f>
        <v>0</v>
      </c>
    </row>
    <row r="42" spans="1:17" s="1" customFormat="1" x14ac:dyDescent="0.2">
      <c r="B4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7" s="1" customFormat="1" x14ac:dyDescent="0.2">
      <c r="B4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7" s="1" customFormat="1" x14ac:dyDescent="0.2">
      <c r="B4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/>
    </row>
    <row r="45" spans="1:17" s="1" customFormat="1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/>
    </row>
    <row r="46" spans="1:17" s="1" customFormat="1" x14ac:dyDescent="0.2">
      <c r="B4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/>
    </row>
    <row r="47" spans="1:17" s="1" customFormat="1" x14ac:dyDescent="0.2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7" s="1" customFormat="1" x14ac:dyDescent="0.2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4" s="1" customFormat="1" x14ac:dyDescent="0.2"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2:14" s="1" customFormat="1" x14ac:dyDescent="0.2">
      <c r="B50"/>
      <c r="C50"/>
      <c r="D50"/>
      <c r="E50"/>
      <c r="F50"/>
      <c r="G50"/>
      <c r="H50"/>
      <c r="I50"/>
      <c r="J50"/>
      <c r="K50"/>
      <c r="L50"/>
      <c r="M50"/>
      <c r="N50"/>
    </row>
  </sheetData>
  <mergeCells count="18">
    <mergeCell ref="C3:C5"/>
    <mergeCell ref="D3:D5"/>
    <mergeCell ref="E3:E5"/>
    <mergeCell ref="F3:F5"/>
    <mergeCell ref="G3:G5"/>
    <mergeCell ref="A1:B1"/>
    <mergeCell ref="C1:M1"/>
    <mergeCell ref="C2:H2"/>
    <mergeCell ref="I2:K2"/>
    <mergeCell ref="L2:M2"/>
    <mergeCell ref="O3:O5"/>
    <mergeCell ref="Q3:Q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A2F-8E63-FD4A-8727-B1F96959744D}">
  <sheetPr>
    <tabColor theme="6"/>
  </sheetPr>
  <dimension ref="A1:S28"/>
  <sheetViews>
    <sheetView zoomScale="120" zoomScaleNormal="120" workbookViewId="0">
      <selection activeCell="F19" sqref="F19"/>
    </sheetView>
  </sheetViews>
  <sheetFormatPr baseColWidth="10" defaultRowHeight="15" x14ac:dyDescent="0.2"/>
  <cols>
    <col min="1" max="1" width="14" bestFit="1" customWidth="1"/>
    <col min="3" max="3" width="2.6640625" customWidth="1"/>
    <col min="4" max="4" width="2.83203125" customWidth="1"/>
    <col min="5" max="5" width="20.83203125" bestFit="1" customWidth="1"/>
    <col min="8" max="8" width="4.1640625" customWidth="1"/>
    <col min="9" max="9" width="10.83203125" customWidth="1"/>
    <col min="11" max="11" width="13.5" bestFit="1" customWidth="1"/>
    <col min="13" max="13" width="3.83203125" customWidth="1"/>
    <col min="14" max="14" width="3.5" customWidth="1"/>
    <col min="15" max="15" width="23.33203125" customWidth="1"/>
    <col min="16" max="16" width="11.1640625" customWidth="1"/>
  </cols>
  <sheetData>
    <row r="1" spans="1:19" x14ac:dyDescent="0.2">
      <c r="A1" s="47" t="s">
        <v>44</v>
      </c>
      <c r="B1" s="47"/>
      <c r="C1" s="47"/>
      <c r="D1" s="47"/>
      <c r="E1" s="47"/>
      <c r="F1" s="47"/>
      <c r="H1" s="47" t="s">
        <v>58</v>
      </c>
      <c r="I1" s="47"/>
      <c r="J1" s="47"/>
      <c r="K1" s="47"/>
      <c r="M1" s="47" t="s">
        <v>69</v>
      </c>
      <c r="N1" s="47"/>
      <c r="O1" s="47"/>
      <c r="P1" s="47"/>
    </row>
    <row r="2" spans="1:19" x14ac:dyDescent="0.2">
      <c r="A2" t="s">
        <v>45</v>
      </c>
      <c r="B2" s="14">
        <v>305500</v>
      </c>
      <c r="C2" s="14"/>
      <c r="D2" t="s">
        <v>50</v>
      </c>
      <c r="F2" s="49">
        <v>0</v>
      </c>
      <c r="G2" s="14"/>
      <c r="H2" t="s">
        <v>59</v>
      </c>
      <c r="K2" s="49">
        <v>500000</v>
      </c>
      <c r="M2" t="s">
        <v>70</v>
      </c>
    </row>
    <row r="3" spans="1:19" x14ac:dyDescent="0.2">
      <c r="A3" t="s">
        <v>46</v>
      </c>
      <c r="B3" s="14">
        <v>0</v>
      </c>
      <c r="C3" s="14"/>
      <c r="D3" t="s">
        <v>28</v>
      </c>
      <c r="F3" s="49">
        <v>200000</v>
      </c>
      <c r="G3" s="14"/>
      <c r="H3" t="s">
        <v>60</v>
      </c>
      <c r="J3" s="14"/>
      <c r="K3" s="49"/>
      <c r="N3" t="s">
        <v>71</v>
      </c>
      <c r="P3" s="49"/>
      <c r="Q3" s="49"/>
      <c r="R3" s="49"/>
      <c r="S3" s="49"/>
    </row>
    <row r="4" spans="1:19" x14ac:dyDescent="0.2">
      <c r="A4" t="s">
        <v>1</v>
      </c>
      <c r="B4" s="14">
        <v>325000</v>
      </c>
      <c r="C4" s="14"/>
      <c r="D4" t="s">
        <v>51</v>
      </c>
      <c r="F4" s="48">
        <v>0</v>
      </c>
      <c r="G4" s="14"/>
      <c r="H4" s="14"/>
      <c r="I4" t="s">
        <v>61</v>
      </c>
      <c r="J4" s="49">
        <v>350000</v>
      </c>
      <c r="K4" s="49"/>
      <c r="O4" t="s">
        <v>72</v>
      </c>
      <c r="P4" s="49">
        <v>700000</v>
      </c>
      <c r="Q4" s="49"/>
      <c r="R4" s="49"/>
      <c r="S4" s="49"/>
    </row>
    <row r="5" spans="1:19" x14ac:dyDescent="0.2">
      <c r="A5" t="s">
        <v>47</v>
      </c>
      <c r="B5" s="14">
        <v>12000</v>
      </c>
      <c r="C5" s="14"/>
      <c r="E5" t="s">
        <v>52</v>
      </c>
      <c r="F5" s="49">
        <f>SUM(F2:F4)</f>
        <v>200000</v>
      </c>
      <c r="G5" s="14"/>
      <c r="H5" s="14"/>
      <c r="I5" t="s">
        <v>62</v>
      </c>
      <c r="J5" s="49">
        <v>2000</v>
      </c>
      <c r="K5" s="49"/>
      <c r="N5" t="s">
        <v>73</v>
      </c>
      <c r="P5" s="49"/>
      <c r="Q5" s="49"/>
      <c r="R5" s="49"/>
      <c r="S5" s="49"/>
    </row>
    <row r="6" spans="1:19" x14ac:dyDescent="0.2">
      <c r="A6" t="s">
        <v>48</v>
      </c>
      <c r="B6" s="14">
        <v>585000</v>
      </c>
      <c r="C6" s="14"/>
      <c r="F6" s="49"/>
      <c r="G6" s="14"/>
      <c r="H6" s="14"/>
      <c r="I6" t="s">
        <v>63</v>
      </c>
      <c r="J6" s="49">
        <v>23500</v>
      </c>
      <c r="K6" s="49"/>
      <c r="O6" t="s">
        <v>64</v>
      </c>
      <c r="P6" s="49">
        <v>-24000</v>
      </c>
      <c r="Q6" s="49"/>
      <c r="R6" s="49"/>
      <c r="S6" s="49"/>
    </row>
    <row r="7" spans="1:19" x14ac:dyDescent="0.2">
      <c r="A7" t="s">
        <v>49</v>
      </c>
      <c r="B7" s="45">
        <v>0</v>
      </c>
      <c r="C7" s="14"/>
      <c r="D7" t="s">
        <v>53</v>
      </c>
      <c r="F7" s="49">
        <v>1000000</v>
      </c>
      <c r="G7" s="14"/>
      <c r="H7" s="14"/>
      <c r="I7" t="s">
        <v>64</v>
      </c>
      <c r="J7" s="49">
        <v>12000</v>
      </c>
      <c r="K7" s="49"/>
      <c r="O7" t="s">
        <v>62</v>
      </c>
      <c r="P7" s="49">
        <v>-2000</v>
      </c>
      <c r="Q7" s="49"/>
      <c r="R7" s="49"/>
      <c r="S7" s="49"/>
    </row>
    <row r="8" spans="1:19" x14ac:dyDescent="0.2">
      <c r="B8" s="14"/>
      <c r="C8" s="14"/>
      <c r="D8" t="s">
        <v>54</v>
      </c>
      <c r="F8" s="48">
        <v>27500</v>
      </c>
      <c r="G8" s="14"/>
      <c r="H8" s="14"/>
      <c r="I8" t="s">
        <v>65</v>
      </c>
      <c r="J8" s="49">
        <v>65000</v>
      </c>
      <c r="K8" s="49"/>
      <c r="O8" t="s">
        <v>63</v>
      </c>
      <c r="P8" s="49">
        <v>-23500</v>
      </c>
      <c r="Q8" s="49"/>
      <c r="R8" s="49"/>
      <c r="S8" s="49"/>
    </row>
    <row r="9" spans="1:19" ht="16" thickBot="1" x14ac:dyDescent="0.25">
      <c r="B9" s="14"/>
      <c r="C9" s="14"/>
      <c r="E9" t="s">
        <v>55</v>
      </c>
      <c r="F9" s="54">
        <f>SUM(F7:F8)</f>
        <v>1027500</v>
      </c>
      <c r="G9" s="14"/>
      <c r="H9" s="14"/>
      <c r="I9" t="s">
        <v>66</v>
      </c>
      <c r="J9" s="48">
        <v>20000</v>
      </c>
      <c r="K9" s="49"/>
      <c r="O9" t="s">
        <v>74</v>
      </c>
      <c r="P9" s="49">
        <v>-350000</v>
      </c>
      <c r="Q9" s="49"/>
      <c r="R9" s="49"/>
      <c r="S9" s="49"/>
    </row>
    <row r="10" spans="1:19" ht="17" thickTop="1" thickBot="1" x14ac:dyDescent="0.25">
      <c r="B10" s="14"/>
      <c r="C10" s="14"/>
      <c r="F10" s="49"/>
      <c r="G10" s="14"/>
      <c r="H10" s="14"/>
      <c r="I10" t="s">
        <v>67</v>
      </c>
      <c r="J10" s="14"/>
      <c r="K10" s="53">
        <f>SUM(J4:J9)*-1</f>
        <v>-472500</v>
      </c>
      <c r="O10" t="s">
        <v>66</v>
      </c>
      <c r="P10" s="49">
        <v>-20000</v>
      </c>
      <c r="Q10" s="49"/>
      <c r="R10" s="49"/>
      <c r="S10" s="49"/>
    </row>
    <row r="11" spans="1:19" ht="16" thickTop="1" x14ac:dyDescent="0.2">
      <c r="A11" s="34" t="s">
        <v>56</v>
      </c>
      <c r="B11" s="46">
        <f>SUM(B2:B7)</f>
        <v>1227500</v>
      </c>
      <c r="C11" s="46"/>
      <c r="D11" s="34"/>
      <c r="E11" s="34" t="s">
        <v>57</v>
      </c>
      <c r="F11" s="50">
        <f>F5+F9</f>
        <v>1227500</v>
      </c>
      <c r="G11" s="14"/>
      <c r="H11" s="14"/>
      <c r="J11" s="14"/>
      <c r="K11" s="49"/>
      <c r="O11" t="s">
        <v>75</v>
      </c>
      <c r="P11" s="48">
        <v>-325000</v>
      </c>
      <c r="Q11" s="49"/>
      <c r="R11" s="49"/>
      <c r="S11" s="49"/>
    </row>
    <row r="12" spans="1:19" x14ac:dyDescent="0.2">
      <c r="B12" s="14"/>
      <c r="C12" s="14"/>
      <c r="F12" s="49"/>
      <c r="G12" s="14"/>
      <c r="H12" s="14"/>
      <c r="I12" s="34" t="s">
        <v>68</v>
      </c>
      <c r="J12" s="46"/>
      <c r="K12" s="50">
        <f>SUM(K2:K10)</f>
        <v>27500</v>
      </c>
      <c r="N12" s="34" t="s">
        <v>76</v>
      </c>
      <c r="O12" s="34"/>
      <c r="P12" s="50">
        <f>SUM(P4:P11)</f>
        <v>-44500</v>
      </c>
      <c r="Q12" s="49"/>
      <c r="R12" s="49"/>
      <c r="S12" s="49"/>
    </row>
    <row r="13" spans="1:19" x14ac:dyDescent="0.2">
      <c r="B13" s="14"/>
      <c r="C13" s="14"/>
      <c r="F13" s="14"/>
      <c r="G13" s="14"/>
      <c r="H13" s="14"/>
      <c r="J13" s="14"/>
      <c r="K13" s="49"/>
      <c r="P13" s="49"/>
      <c r="Q13" s="49"/>
      <c r="R13" s="49"/>
      <c r="S13" s="49"/>
    </row>
    <row r="14" spans="1:19" x14ac:dyDescent="0.2">
      <c r="B14" s="14"/>
      <c r="C14" s="14"/>
      <c r="J14" s="14"/>
      <c r="K14" s="14"/>
      <c r="M14" t="s">
        <v>77</v>
      </c>
      <c r="P14" s="49"/>
      <c r="Q14" s="49"/>
      <c r="R14" s="49"/>
      <c r="S14" s="49"/>
    </row>
    <row r="15" spans="1:19" x14ac:dyDescent="0.2">
      <c r="N15" t="s">
        <v>78</v>
      </c>
      <c r="P15" s="48">
        <v>-650000</v>
      </c>
      <c r="Q15" s="49"/>
      <c r="R15" s="49"/>
      <c r="S15" s="49"/>
    </row>
    <row r="16" spans="1:19" x14ac:dyDescent="0.2">
      <c r="N16" s="34" t="s">
        <v>79</v>
      </c>
      <c r="P16" s="50">
        <f>P15</f>
        <v>-650000</v>
      </c>
      <c r="Q16" s="49"/>
      <c r="R16" s="49"/>
      <c r="S16" s="49"/>
    </row>
    <row r="17" spans="13:19" x14ac:dyDescent="0.2">
      <c r="P17" s="49"/>
      <c r="Q17" s="49"/>
      <c r="R17" s="49"/>
      <c r="S17" s="49"/>
    </row>
    <row r="18" spans="13:19" x14ac:dyDescent="0.2">
      <c r="M18" t="s">
        <v>80</v>
      </c>
      <c r="P18" s="49"/>
      <c r="Q18" s="49"/>
      <c r="R18" s="49"/>
      <c r="S18" s="49"/>
    </row>
    <row r="19" spans="13:19" x14ac:dyDescent="0.2">
      <c r="N19" t="s">
        <v>81</v>
      </c>
      <c r="P19" s="49">
        <v>1000000</v>
      </c>
      <c r="Q19" s="49"/>
      <c r="R19" s="49"/>
      <c r="S19" s="49"/>
    </row>
    <row r="20" spans="13:19" x14ac:dyDescent="0.2">
      <c r="N20" t="s">
        <v>82</v>
      </c>
      <c r="P20" s="14">
        <v>400000</v>
      </c>
      <c r="Q20" s="14"/>
      <c r="R20" s="14"/>
      <c r="S20" s="14"/>
    </row>
    <row r="21" spans="13:19" x14ac:dyDescent="0.2">
      <c r="N21" t="s">
        <v>83</v>
      </c>
      <c r="P21" s="48">
        <v>-400000</v>
      </c>
      <c r="Q21" s="14"/>
      <c r="R21" s="14"/>
      <c r="S21" s="14"/>
    </row>
    <row r="22" spans="13:19" ht="16" thickBot="1" x14ac:dyDescent="0.25">
      <c r="N22" s="34" t="s">
        <v>84</v>
      </c>
      <c r="P22" s="51">
        <f>SUM(P19:P21)</f>
        <v>1000000</v>
      </c>
      <c r="Q22" s="14"/>
      <c r="R22" s="14"/>
      <c r="S22" s="14"/>
    </row>
    <row r="23" spans="13:19" ht="16" thickTop="1" x14ac:dyDescent="0.2">
      <c r="P23" s="14"/>
      <c r="Q23" s="14"/>
      <c r="R23" s="14"/>
      <c r="S23" s="14"/>
    </row>
    <row r="24" spans="13:19" x14ac:dyDescent="0.2">
      <c r="M24" s="34" t="s">
        <v>85</v>
      </c>
      <c r="P24" s="46">
        <f>P12+P16+P22</f>
        <v>305500</v>
      </c>
      <c r="Q24" s="14"/>
      <c r="R24" s="14"/>
      <c r="S24" s="14"/>
    </row>
    <row r="25" spans="13:19" ht="16" thickBot="1" x14ac:dyDescent="0.25">
      <c r="M25" s="34" t="s">
        <v>86</v>
      </c>
      <c r="N25" s="34"/>
      <c r="O25" s="34"/>
      <c r="P25" s="52">
        <v>0</v>
      </c>
      <c r="Q25" s="14"/>
      <c r="R25" s="14"/>
      <c r="S25" s="14"/>
    </row>
    <row r="26" spans="13:19" ht="16" thickTop="1" x14ac:dyDescent="0.2">
      <c r="M26" s="34" t="s">
        <v>87</v>
      </c>
      <c r="N26" s="34"/>
      <c r="O26" s="34"/>
      <c r="P26" s="46">
        <f>P24+P25</f>
        <v>305500</v>
      </c>
      <c r="Q26" s="14"/>
      <c r="R26" s="14"/>
      <c r="S26" s="14"/>
    </row>
    <row r="27" spans="13:19" x14ac:dyDescent="0.2">
      <c r="P27" s="14"/>
      <c r="Q27" s="14"/>
      <c r="R27" s="14"/>
      <c r="S27" s="14"/>
    </row>
    <row r="28" spans="13:19" x14ac:dyDescent="0.2">
      <c r="P28" s="14"/>
      <c r="Q28" s="14"/>
      <c r="R28" s="14"/>
      <c r="S28" s="14"/>
    </row>
  </sheetData>
  <mergeCells count="3">
    <mergeCell ref="A1:F1"/>
    <mergeCell ref="H1:K1"/>
    <mergeCell ref="M1:P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BSE Template (blank)</vt:lpstr>
      <vt:lpstr>BSE Template (filled in)</vt:lpstr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2024-09-27T21:24:27Z</dcterms:modified>
</cp:coreProperties>
</file>